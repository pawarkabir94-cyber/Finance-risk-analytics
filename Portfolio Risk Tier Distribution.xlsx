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a1dd9cd7d5d27d/Documents/"/>
    </mc:Choice>
  </mc:AlternateContent>
  <xr:revisionPtr revIDLastSave="1" documentId="8_{6A8687F2-88A5-4EE5-B2A1-7EF0F3C93461}" xr6:coauthVersionLast="47" xr6:coauthVersionMax="47" xr10:uidLastSave="{7C8335D2-408E-4D65-BE0F-508075217476}"/>
  <bookViews>
    <workbookView xWindow="-120" yWindow="-120" windowWidth="29040" windowHeight="15720" xr2:uid="{EFEA00A1-DA48-4E24-9E9E-F1C7D2A5E6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2" i="1"/>
  <c r="D3" i="1"/>
  <c r="I3" i="1" s="1"/>
  <c r="D4" i="1"/>
  <c r="I4" i="1" s="1"/>
  <c r="D5" i="1"/>
  <c r="I5" i="1" s="1"/>
  <c r="D6" i="1"/>
  <c r="I6" i="1" s="1"/>
  <c r="D7" i="1"/>
  <c r="I7" i="1" s="1"/>
  <c r="D8" i="1"/>
  <c r="I8" i="1" s="1"/>
  <c r="D9" i="1"/>
  <c r="I9" i="1" s="1"/>
  <c r="D10" i="1"/>
  <c r="I10" i="1" s="1"/>
  <c r="D11" i="1"/>
  <c r="I11" i="1" s="1"/>
  <c r="D2" i="1"/>
  <c r="I2" i="1" s="1"/>
  <c r="B18" i="1" l="1"/>
  <c r="K2" i="1"/>
  <c r="B20" i="1"/>
  <c r="B16" i="1"/>
  <c r="B17" i="1"/>
</calcChain>
</file>

<file path=xl/sharedStrings.xml><?xml version="1.0" encoding="utf-8"?>
<sst xmlns="http://schemas.openxmlformats.org/spreadsheetml/2006/main" count="37" uniqueCount="33">
  <si>
    <t>Customer Name</t>
  </si>
  <si>
    <t xml:space="preserve">Monthly Income </t>
  </si>
  <si>
    <t>CIBIL Score</t>
  </si>
  <si>
    <t>Person age</t>
  </si>
  <si>
    <t>Annual Income INR</t>
  </si>
  <si>
    <t>Existing EMIs INR</t>
  </si>
  <si>
    <t>Loan Amount Requested</t>
  </si>
  <si>
    <t>Loan Intrest</t>
  </si>
  <si>
    <t>APP001</t>
  </si>
  <si>
    <t>APP002</t>
  </si>
  <si>
    <t>APP003</t>
  </si>
  <si>
    <t>APP004</t>
  </si>
  <si>
    <t>APP005</t>
  </si>
  <si>
    <t>APP006</t>
  </si>
  <si>
    <t>APP007</t>
  </si>
  <si>
    <t>APP008</t>
  </si>
  <si>
    <t>APP009</t>
  </si>
  <si>
    <t>APP010</t>
  </si>
  <si>
    <t>Personal</t>
  </si>
  <si>
    <t>Venture</t>
  </si>
  <si>
    <t>Education</t>
  </si>
  <si>
    <t>Home Improvement</t>
  </si>
  <si>
    <t>Debt Consolidation</t>
  </si>
  <si>
    <t>Medical</t>
  </si>
  <si>
    <t>FOIR (%)</t>
  </si>
  <si>
    <t>Cibil Risk Tier</t>
  </si>
  <si>
    <t>Loan Status</t>
  </si>
  <si>
    <t>Risk Tier</t>
  </si>
  <si>
    <t>Application Count</t>
  </si>
  <si>
    <t>Tier 1: Low Risk</t>
  </si>
  <si>
    <t>Tier 2: Medium Risk</t>
  </si>
  <si>
    <t>Tier 3: High Risk</t>
  </si>
  <si>
    <t>Overall Approval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</si>
</sst>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43" formatCode="_ * #,##0.00_ ;_ * \-#,##0.00_ ;_ * &quot;-&quot;??_ ;_ @_ "/>
    <numFmt numFmtId="172" formatCode="&quot;₹&quot;\ 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/>
    <xf numFmtId="0" fontId="0" fillId="3" borderId="0" xfId="0" applyFill="1"/>
    <xf numFmtId="0" fontId="2" fillId="2" borderId="0" xfId="0" applyFont="1" applyFill="1"/>
    <xf numFmtId="0" fontId="2" fillId="4" borderId="0" xfId="0" applyFont="1" applyFill="1"/>
    <xf numFmtId="0" fontId="0" fillId="5" borderId="0" xfId="0" applyFill="1"/>
    <xf numFmtId="172" fontId="0" fillId="5" borderId="0" xfId="1" applyNumberFormat="1" applyFont="1" applyFill="1"/>
    <xf numFmtId="172" fontId="0" fillId="5" borderId="0" xfId="2" applyNumberFormat="1" applyFont="1" applyFill="1"/>
    <xf numFmtId="9" fontId="0" fillId="5" borderId="0" xfId="3" applyFont="1" applyFill="1"/>
    <xf numFmtId="172" fontId="0" fillId="5" borderId="0" xfId="1" applyNumberFormat="1" applyFont="1" applyFill="1" applyAlignment="1"/>
    <xf numFmtId="0" fontId="0" fillId="6" borderId="0" xfId="0" applyFill="1"/>
    <xf numFmtId="9" fontId="0" fillId="7" borderId="0" xfId="3" applyFont="1" applyFill="1"/>
    <xf numFmtId="0" fontId="3" fillId="0" borderId="0" xfId="0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3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/>
        </patternFill>
      </fill>
    </dxf>
    <dxf>
      <fill>
        <patternFill patternType="solid">
          <fgColor indexed="64"/>
          <bgColor theme="7"/>
        </patternFill>
      </fill>
    </dxf>
    <dxf>
      <fill>
        <patternFill patternType="solid">
          <fgColor indexed="64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/>
        </patternFill>
      </fill>
    </dxf>
    <dxf>
      <fill>
        <patternFill patternType="solid">
          <fgColor indexed="64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&quot;₹&quot;\ #,##0"/>
      <fill>
        <patternFill patternType="solid">
          <fgColor indexed="64"/>
          <bgColor theme="7"/>
        </patternFill>
      </fill>
    </dxf>
    <dxf>
      <fill>
        <patternFill patternType="solid">
          <fgColor indexed="64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&quot;₹&quot;\ #,##0"/>
      <fill>
        <patternFill patternType="solid">
          <fgColor indexed="64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&quot;₹&quot;\ #,##0"/>
      <fill>
        <patternFill patternType="solid">
          <fgColor indexed="64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&quot;₹&quot;\ #,##0"/>
      <fill>
        <patternFill patternType="solid">
          <fgColor indexed="64"/>
          <bgColor theme="7"/>
        </patternFill>
      </fill>
    </dxf>
    <dxf>
      <fill>
        <patternFill patternType="solid">
          <fgColor indexed="64"/>
          <bgColor theme="7"/>
        </patternFill>
      </fill>
    </dxf>
    <dxf>
      <fill>
        <patternFill patternType="solid">
          <fgColor indexed="64"/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Portfolio</a:t>
            </a:r>
            <a:r>
              <a:rPr lang="en-US" sz="1200" baseline="0"/>
              <a:t> Risk Tier Distribution 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99759405074366E-2"/>
          <c:y val="2.5428331875182269E-2"/>
          <c:w val="0.89655796150481193"/>
          <c:h val="0.732183945756780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Sheet1!$B$15</c:f>
              <c:strCache>
                <c:ptCount val="1"/>
                <c:pt idx="0">
                  <c:v>Application Count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Sheet1!$A$16:$A$18</c:f>
              <c:strCache>
                <c:ptCount val="3"/>
                <c:pt idx="0">
                  <c:v>Tier 1: Low Risk</c:v>
                </c:pt>
                <c:pt idx="1">
                  <c:v>Tier 2: Medium Risk</c:v>
                </c:pt>
                <c:pt idx="2">
                  <c:v>Tier 3: High Risk</c:v>
                </c:pt>
              </c:strCache>
            </c:strRef>
          </c:cat>
          <c:val>
            <c:numRef>
              <c:f>Sheet1!$B$16:$B$18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91-458C-A0A8-601D0A2F1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19915760"/>
        <c:axId val="119934480"/>
      </c:barChart>
      <c:catAx>
        <c:axId val="11991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34480"/>
        <c:crosses val="autoZero"/>
        <c:auto val="1"/>
        <c:lblAlgn val="ctr"/>
        <c:lblOffset val="100"/>
        <c:noMultiLvlLbl val="0"/>
      </c:catAx>
      <c:valAx>
        <c:axId val="119934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15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504825</xdr:colOff>
      <xdr:row>17</xdr:row>
      <xdr:rowOff>185737</xdr:rowOff>
    </xdr:from>
    <xdr:to>
      <xdr:col>10</xdr:col>
      <xdr:colOff>676275</xdr:colOff>
      <xdr:row>32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0909C8-8494-960F-6D68-750282F5C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4E67A4E-BAF4-4AA2-8119-EFE55011DDCB}" name="Table6" displayName="Table6" ref="A1:K11" totalsRowShown="0" headerRowDxfId="4" dataDxfId="5">
  <autoFilter ref="A1:K11" xr:uid="{44E67A4E-BAF4-4AA2-8119-EFE55011DDCB}"/>
  <sortState xmlns:xlrd2="http://schemas.microsoft.com/office/spreadsheetml/2017/richdata2" ref="A2:K11">
    <sortCondition ref="A1:A11"/>
  </sortState>
  <tableColumns count="11">
    <tableColumn id="1" xr3:uid="{F220340E-B6F6-4F8E-B160-47534502ADA7}" name="Customer Name" dataDxfId="16"/>
    <tableColumn id="2" xr3:uid="{3004EB2C-2AD0-4417-9637-6C1F0DBCB1CE}" name="Person age" dataDxfId="15"/>
    <tableColumn id="3" xr3:uid="{ECA44283-2342-4B79-AA98-CA269E69EC39}" name="Annual Income INR" dataDxfId="14" dataCellStyle="Comma"/>
    <tableColumn id="4" xr3:uid="{31048302-39BF-49B1-B463-5BF839F8B371}" name="Monthly Income " dataDxfId="13" dataCellStyle="Comma">
      <calculatedColumnFormula>C2/12</calculatedColumnFormula>
    </tableColumn>
    <tableColumn id="5" xr3:uid="{C7C891E8-D15C-4184-930B-8C8E2F3F19FE}" name="Existing EMIs INR" dataDxfId="12" dataCellStyle="Comma"/>
    <tableColumn id="6" xr3:uid="{5E8BB108-E259-4880-ABE1-C6F6711A012A}" name="CIBIL Score" dataDxfId="11"/>
    <tableColumn id="7" xr3:uid="{275BD0D8-8FDD-4130-A65E-E3DC12CFEC71}" name="Loan Amount Requested" dataDxfId="10" dataCellStyle="Currency"/>
    <tableColumn id="8" xr3:uid="{33A0A58D-A2C4-4724-A5B0-6092BB0165B8}" name="Loan Intrest" dataDxfId="9"/>
    <tableColumn id="9" xr3:uid="{C66869B7-0713-4B46-982F-9975190AA0E6}" name="FOIR (%)" dataDxfId="8" dataCellStyle="Percent">
      <calculatedColumnFormula>E2/D2</calculatedColumnFormula>
    </tableColumn>
    <tableColumn id="10" xr3:uid="{69C05B8A-15A1-49BC-8BAB-9F65D09247F8}" name="Cibil Risk Tier" dataDxfId="7">
      <calculatedColumnFormula>IF(F2&gt;=750,"Tier 1: Low Risk",IF(F2&gt;650,"Medium Risk","Tier 3:High Risk"))</calculatedColumnFormula>
    </tableColumn>
    <tableColumn id="11" xr3:uid="{8608B445-9CFF-48E4-B7FC-493FD4EF371A}" name="Loan Status" dataDxfId="6">
      <calculatedColumnFormula>IF(AND(12&lt;=50,ISERR(SEARCH("High",J2))),"APPROVED","REJECTED")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8536A66-A0B8-4A08-9F34-2A58CC3D181F}" name="Table7" displayName="Table7" ref="A15:B18" totalsRowShown="0" headerRowDxfId="0" dataDxfId="1">
  <autoFilter ref="A15:B18" xr:uid="{98536A66-A0B8-4A08-9F34-2A58CC3D181F}"/>
  <tableColumns count="2">
    <tableColumn id="1" xr3:uid="{190218FC-ADAF-429A-AFA2-1D36ADDD770F}" name="Risk Tier" dataDxfId="3"/>
    <tableColumn id="2" xr3:uid="{6E3CEF07-0431-454C-B384-E3E8BC069E2D}" name="Application Count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A8FB4-1902-4C20-A459-9798FA070C9D}">
  <dimension ref="A1:N20"/>
  <sheetViews>
    <sheetView tabSelected="1" workbookViewId="0">
      <selection activeCell="N17" sqref="N17"/>
    </sheetView>
  </sheetViews>
  <sheetFormatPr defaultRowHeight="15" x14ac:dyDescent="0.25"/>
  <cols>
    <col min="1" max="1" width="20.5703125" bestFit="1" customWidth="1"/>
    <col min="2" max="2" width="19" customWidth="1"/>
    <col min="3" max="3" width="20" customWidth="1"/>
    <col min="4" max="4" width="18.140625" customWidth="1"/>
    <col min="5" max="5" width="18.28515625" customWidth="1"/>
    <col min="6" max="6" width="12.7109375" customWidth="1"/>
    <col min="7" max="7" width="24.85546875" customWidth="1"/>
    <col min="8" max="8" width="19.140625" bestFit="1" customWidth="1"/>
    <col min="9" max="9" width="10.7109375" customWidth="1"/>
    <col min="10" max="10" width="15" customWidth="1"/>
    <col min="11" max="11" width="13.140625" customWidth="1"/>
  </cols>
  <sheetData>
    <row r="1" spans="1:11" x14ac:dyDescent="0.25">
      <c r="A1" s="4" t="s">
        <v>0</v>
      </c>
      <c r="B1" s="4" t="s">
        <v>3</v>
      </c>
      <c r="C1" s="4" t="s">
        <v>4</v>
      </c>
      <c r="D1" s="4" t="s">
        <v>1</v>
      </c>
      <c r="E1" s="4" t="s">
        <v>5</v>
      </c>
      <c r="F1" s="4" t="s">
        <v>2</v>
      </c>
      <c r="G1" s="4" t="s">
        <v>6</v>
      </c>
      <c r="H1" s="4" t="s">
        <v>7</v>
      </c>
      <c r="I1" s="4" t="s">
        <v>24</v>
      </c>
      <c r="J1" s="4" t="s">
        <v>25</v>
      </c>
      <c r="K1" s="4" t="s">
        <v>26</v>
      </c>
    </row>
    <row r="2" spans="1:11" x14ac:dyDescent="0.25">
      <c r="A2" s="5" t="s">
        <v>8</v>
      </c>
      <c r="B2" s="5">
        <v>28</v>
      </c>
      <c r="C2" s="6">
        <v>600000</v>
      </c>
      <c r="D2" s="6">
        <f>C2/12</f>
        <v>50000</v>
      </c>
      <c r="E2" s="6">
        <v>10000</v>
      </c>
      <c r="F2" s="5">
        <v>765</v>
      </c>
      <c r="G2" s="7">
        <v>200000</v>
      </c>
      <c r="H2" s="5" t="s">
        <v>18</v>
      </c>
      <c r="I2" s="8">
        <f>E2/D2</f>
        <v>0.2</v>
      </c>
      <c r="J2" s="5" t="str">
        <f>IF(F2&gt;=750,"Tier 1: Low Risk",IF(F2&gt;650,"Medium Risk","Tier 3:High Risk"))</f>
        <v>Tier 1: Low Risk</v>
      </c>
      <c r="K2" s="5" t="str">
        <f>IF(AND(12&lt;=50,ISERR(SEARCH("High",J2))),"APPROVED","REJECTED")</f>
        <v>APPROVED</v>
      </c>
    </row>
    <row r="3" spans="1:11" x14ac:dyDescent="0.25">
      <c r="A3" s="5" t="s">
        <v>9</v>
      </c>
      <c r="B3" s="5">
        <v>42</v>
      </c>
      <c r="C3" s="6">
        <v>1440000</v>
      </c>
      <c r="D3" s="6">
        <f>C3/12</f>
        <v>120000</v>
      </c>
      <c r="E3" s="6">
        <v>65000</v>
      </c>
      <c r="F3" s="5">
        <v>720</v>
      </c>
      <c r="G3" s="7">
        <v>500000</v>
      </c>
      <c r="H3" s="5" t="s">
        <v>19</v>
      </c>
      <c r="I3" s="8">
        <f>E3/D3</f>
        <v>0.54166666666666663</v>
      </c>
      <c r="J3" s="5" t="str">
        <f>IF(F3&gt;=750,"Tier 1: Low Risk",IF(F3&gt;650,"Medium Risk","Tier 3:High Risk"))</f>
        <v>Medium Risk</v>
      </c>
      <c r="K3" s="5" t="str">
        <f>IF(AND(12&lt;=50,ISERR(SEARCH("High",J3))),"APPROVED","REJECTED")</f>
        <v>APPROVED</v>
      </c>
    </row>
    <row r="4" spans="1:11" x14ac:dyDescent="0.25">
      <c r="A4" s="5" t="s">
        <v>10</v>
      </c>
      <c r="B4" s="5">
        <v>23</v>
      </c>
      <c r="C4" s="6">
        <v>360000</v>
      </c>
      <c r="D4" s="6">
        <f>C4/12</f>
        <v>30000</v>
      </c>
      <c r="E4" s="9">
        <v>5000</v>
      </c>
      <c r="F4" s="5">
        <v>590</v>
      </c>
      <c r="G4" s="7">
        <v>100000</v>
      </c>
      <c r="H4" s="5" t="s">
        <v>20</v>
      </c>
      <c r="I4" s="8">
        <f>E4/D4</f>
        <v>0.16666666666666666</v>
      </c>
      <c r="J4" s="5" t="str">
        <f>IF(F4&gt;=750,"Tier 1: Low Risk",IF(F4&gt;650,"Medium Risk","Tier 3:High Risk"))</f>
        <v>Tier 3:High Risk</v>
      </c>
      <c r="K4" s="5" t="str">
        <f>IF(AND(12&lt;=50,ISERR(SEARCH("High",J4))),"APPROVED","REJECTED")</f>
        <v>REJECTED</v>
      </c>
    </row>
    <row r="5" spans="1:11" x14ac:dyDescent="0.25">
      <c r="A5" s="5" t="s">
        <v>11</v>
      </c>
      <c r="B5" s="5">
        <v>35</v>
      </c>
      <c r="C5" s="6">
        <v>960000</v>
      </c>
      <c r="D5" s="6">
        <f>C5/12</f>
        <v>80000</v>
      </c>
      <c r="E5" s="6">
        <v>15000</v>
      </c>
      <c r="F5" s="5">
        <v>810</v>
      </c>
      <c r="G5" s="7">
        <v>350000</v>
      </c>
      <c r="H5" s="5" t="s">
        <v>21</v>
      </c>
      <c r="I5" s="8">
        <f>E5/D5</f>
        <v>0.1875</v>
      </c>
      <c r="J5" s="5" t="str">
        <f>IF(F5&gt;=750,"Tier 1: Low Risk",IF(F5&gt;650,"Medium Risk","Tier 3:High Risk"))</f>
        <v>Tier 1: Low Risk</v>
      </c>
      <c r="K5" s="5" t="str">
        <f>IF(AND(12&lt;=50,ISERR(SEARCH("High",J5))),"APPROVED","REJECTED")</f>
        <v>APPROVED</v>
      </c>
    </row>
    <row r="6" spans="1:11" x14ac:dyDescent="0.25">
      <c r="A6" s="5" t="s">
        <v>12</v>
      </c>
      <c r="B6" s="5">
        <v>51</v>
      </c>
      <c r="C6" s="6">
        <v>1800000</v>
      </c>
      <c r="D6" s="6">
        <f>C6/12</f>
        <v>150000</v>
      </c>
      <c r="E6" s="6">
        <v>40000</v>
      </c>
      <c r="F6" s="5">
        <v>740</v>
      </c>
      <c r="G6" s="7">
        <v>800000</v>
      </c>
      <c r="H6" s="5" t="s">
        <v>19</v>
      </c>
      <c r="I6" s="8">
        <f>E6/D6</f>
        <v>0.26666666666666666</v>
      </c>
      <c r="J6" s="5" t="str">
        <f>IF(F6&gt;=750,"Tier 1: Low Risk",IF(F6&gt;650,"Medium Risk","Tier 3:High Risk"))</f>
        <v>Medium Risk</v>
      </c>
      <c r="K6" s="5" t="str">
        <f>IF(AND(12&lt;=50,ISERR(SEARCH("High",J6))),"APPROVED","REJECTED")</f>
        <v>APPROVED</v>
      </c>
    </row>
    <row r="7" spans="1:11" x14ac:dyDescent="0.25">
      <c r="A7" s="5" t="s">
        <v>13</v>
      </c>
      <c r="B7" s="5">
        <v>25</v>
      </c>
      <c r="C7" s="6">
        <v>480000</v>
      </c>
      <c r="D7" s="6">
        <f>C7/12</f>
        <v>40000</v>
      </c>
      <c r="E7" s="6">
        <v>22000</v>
      </c>
      <c r="F7" s="5">
        <v>680</v>
      </c>
      <c r="G7" s="7">
        <v>150000</v>
      </c>
      <c r="H7" s="5" t="s">
        <v>18</v>
      </c>
      <c r="I7" s="8">
        <f>E7/D7</f>
        <v>0.55000000000000004</v>
      </c>
      <c r="J7" s="5" t="str">
        <f>IF(F7&gt;=750,"Tier 1: Low Risk",IF(F7&gt;650,"Medium Risk","Tier 3:High Risk"))</f>
        <v>Medium Risk</v>
      </c>
      <c r="K7" s="5" t="str">
        <f>IF(AND(12&lt;=50,ISERR(SEARCH("High",J7))),"APPROVED","REJECTED")</f>
        <v>APPROVED</v>
      </c>
    </row>
    <row r="8" spans="1:11" x14ac:dyDescent="0.25">
      <c r="A8" s="5" t="s">
        <v>14</v>
      </c>
      <c r="B8" s="5">
        <v>31</v>
      </c>
      <c r="C8" s="6">
        <v>840000</v>
      </c>
      <c r="D8" s="6">
        <f>C8/12</f>
        <v>70000</v>
      </c>
      <c r="E8" s="6">
        <v>0</v>
      </c>
      <c r="F8" s="5">
        <v>795</v>
      </c>
      <c r="G8" s="7">
        <v>400000</v>
      </c>
      <c r="H8" s="5" t="s">
        <v>22</v>
      </c>
      <c r="I8" s="8">
        <f>E8/D8</f>
        <v>0</v>
      </c>
      <c r="J8" s="5" t="str">
        <f>IF(F8&gt;=750,"Tier 1: Low Risk",IF(F8&gt;650,"Medium Risk","Tier 3:High Risk"))</f>
        <v>Tier 1: Low Risk</v>
      </c>
      <c r="K8" s="5" t="str">
        <f>IF(AND(12&lt;=50,ISERR(SEARCH("High",J8))),"APPROVED","REJECTED")</f>
        <v>APPROVED</v>
      </c>
    </row>
    <row r="9" spans="1:11" x14ac:dyDescent="0.25">
      <c r="A9" s="5" t="s">
        <v>15</v>
      </c>
      <c r="B9" s="5">
        <v>47</v>
      </c>
      <c r="C9" s="6">
        <v>1100000</v>
      </c>
      <c r="D9" s="6">
        <f>C9/12</f>
        <v>91666.666666666672</v>
      </c>
      <c r="E9" s="6">
        <v>55000</v>
      </c>
      <c r="F9" s="5">
        <v>610</v>
      </c>
      <c r="G9" s="7">
        <v>300000</v>
      </c>
      <c r="H9" s="5" t="s">
        <v>23</v>
      </c>
      <c r="I9" s="8">
        <f>E9/D9</f>
        <v>0.6</v>
      </c>
      <c r="J9" s="5" t="str">
        <f>IF(F9&gt;=750,"Tier 1: Low Risk",IF(F9&gt;650,"Medium Risk","Tier 3:High Risk"))</f>
        <v>Tier 3:High Risk</v>
      </c>
      <c r="K9" s="5" t="str">
        <f>IF(AND(12&lt;=50,ISERR(SEARCH("High",J9))),"APPROVED","REJECTED")</f>
        <v>REJECTED</v>
      </c>
    </row>
    <row r="10" spans="1:11" x14ac:dyDescent="0.25">
      <c r="A10" s="5" t="s">
        <v>16</v>
      </c>
      <c r="B10" s="5">
        <v>29</v>
      </c>
      <c r="C10" s="6">
        <v>720000</v>
      </c>
      <c r="D10" s="6">
        <f>C10/12</f>
        <v>60000</v>
      </c>
      <c r="E10" s="6">
        <v>12000</v>
      </c>
      <c r="F10" s="5">
        <v>735</v>
      </c>
      <c r="G10" s="7">
        <v>250000</v>
      </c>
      <c r="H10" s="5" t="s">
        <v>20</v>
      </c>
      <c r="I10" s="8">
        <f>E10/D10</f>
        <v>0.2</v>
      </c>
      <c r="J10" s="5" t="str">
        <f>IF(F10&gt;=750,"Tier 1: Low Risk",IF(F10&gt;650,"Medium Risk","Tier 3:High Risk"))</f>
        <v>Medium Risk</v>
      </c>
      <c r="K10" s="5" t="str">
        <f>IF(AND(12&lt;=50,ISERR(SEARCH("High",J10))),"APPROVED","REJECTED")</f>
        <v>APPROVED</v>
      </c>
    </row>
    <row r="11" spans="1:11" x14ac:dyDescent="0.25">
      <c r="A11" s="5" t="s">
        <v>17</v>
      </c>
      <c r="B11" s="5">
        <v>38</v>
      </c>
      <c r="C11" s="6">
        <v>1320000</v>
      </c>
      <c r="D11" s="6">
        <f>C11/12</f>
        <v>110000</v>
      </c>
      <c r="E11" s="6">
        <v>10000</v>
      </c>
      <c r="F11" s="5">
        <v>550</v>
      </c>
      <c r="G11" s="7">
        <v>600000</v>
      </c>
      <c r="H11" s="5" t="s">
        <v>21</v>
      </c>
      <c r="I11" s="8">
        <f>E11/D11</f>
        <v>9.0909090909090912E-2</v>
      </c>
      <c r="J11" s="5" t="str">
        <f>IF(F11&gt;=750,"Tier 1: Low Risk",IF(F11&gt;650,"Medium Risk","Tier 3:High Risk"))</f>
        <v>Tier 3:High Risk</v>
      </c>
      <c r="K11" s="5" t="str">
        <f>IF(AND(12&lt;=50,ISERR(SEARCH("High",J11))),"APPROVED","REJECTED")</f>
        <v>REJECTED</v>
      </c>
    </row>
    <row r="15" spans="1:11" x14ac:dyDescent="0.25">
      <c r="A15" s="3" t="s">
        <v>27</v>
      </c>
      <c r="B15" s="3" t="s">
        <v>28</v>
      </c>
    </row>
    <row r="16" spans="1:11" x14ac:dyDescent="0.25">
      <c r="A16" s="2" t="s">
        <v>29</v>
      </c>
      <c r="B16" s="2">
        <f>COUNTIF(J$2:J$11,"*Low*")</f>
        <v>3</v>
      </c>
    </row>
    <row r="17" spans="1:14" ht="15.75" x14ac:dyDescent="0.25">
      <c r="A17" s="2" t="s">
        <v>30</v>
      </c>
      <c r="B17" s="2">
        <f>COUNTIF(J$2:J$11,"*Medium*")</f>
        <v>4</v>
      </c>
      <c r="N17" s="12"/>
    </row>
    <row r="18" spans="1:14" x14ac:dyDescent="0.25">
      <c r="A18" s="2" t="s">
        <v>31</v>
      </c>
      <c r="B18" s="2">
        <f>COUNTIF(J$2:J$11,"*High*")</f>
        <v>3</v>
      </c>
    </row>
    <row r="20" spans="1:14" x14ac:dyDescent="0.25">
      <c r="A20" s="10" t="s">
        <v>32</v>
      </c>
      <c r="B20" s="11">
        <f>COUNTIF(K2:K11,"APPROVED")/COUNTA(K2:K11)</f>
        <v>0.7</v>
      </c>
      <c r="G20" s="1"/>
    </row>
  </sheetData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Kabir Pawar</dc:creator>
  <cp:lastModifiedBy>Kabir Pawar</cp:lastModifiedBy>
  <cp:lastPrinted>2026-05-24T10:04:21Z</cp:lastPrinted>
  <dcterms:created xsi:type="dcterms:W3CDTF">2026-05-24T08:40:18Z</dcterms:created>
  <dcterms:modified xsi:type="dcterms:W3CDTF">2026-05-24T10:23:06Z</dcterms:modified>
</cp:coreProperties>
</file>