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a1dd9cd7d5d27d/Documents/"/>
    </mc:Choice>
  </mc:AlternateContent>
  <xr:revisionPtr revIDLastSave="5" documentId="8_{6F763EB6-0CEC-4116-9623-8F98837F45AF}" xr6:coauthVersionLast="47" xr6:coauthVersionMax="47" xr10:uidLastSave="{547684D9-881F-45D4-9CDC-101993073D05}"/>
  <bookViews>
    <workbookView xWindow="-120" yWindow="-120" windowWidth="29040" windowHeight="15720" xr2:uid="{CFB19EF0-9804-4E13-9908-DB7263B32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 a="1"/>
  <c r="E6" i="1" s="1"/>
  <c r="I13" i="1"/>
  <c r="E3" i="1" a="1"/>
  <c r="E3" i="1" s="1"/>
  <c r="E4" i="1" a="1"/>
  <c r="E4" i="1" s="1"/>
  <c r="E5" i="1" a="1"/>
  <c r="E5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2" i="1" a="1"/>
  <c r="E2" i="1" s="1"/>
  <c r="F3" i="1"/>
  <c r="F4" i="1"/>
  <c r="F5" i="1"/>
  <c r="F6" i="1"/>
  <c r="F7" i="1"/>
  <c r="F8" i="1"/>
  <c r="F9" i="1"/>
  <c r="F10" i="1"/>
  <c r="F11" i="1"/>
  <c r="F2" i="1"/>
  <c r="F16" i="1"/>
  <c r="F15" i="1"/>
  <c r="E16" i="1" a="1"/>
  <c r="E16" i="1" s="1"/>
  <c r="E15" i="1" a="1"/>
  <c r="E15" i="1" s="1"/>
  <c r="A11" i="1"/>
  <c r="A4" i="1"/>
  <c r="A5" i="1"/>
  <c r="A6" i="1"/>
  <c r="A7" i="1" s="1"/>
  <c r="A8" i="1" s="1"/>
  <c r="A9" i="1" s="1"/>
  <c r="A10" i="1" s="1"/>
  <c r="A3" i="1"/>
  <c r="F14" i="1"/>
  <c r="E14" i="1" a="1"/>
  <c r="E14" i="1" s="1"/>
  <c r="G9" i="1" l="1"/>
  <c r="G8" i="1"/>
  <c r="G7" i="1"/>
  <c r="G6" i="1"/>
  <c r="G5" i="1"/>
  <c r="G4" i="1"/>
  <c r="G11" i="1"/>
  <c r="G3" i="1"/>
  <c r="G10" i="1"/>
  <c r="G2" i="1"/>
  <c r="I14" i="1" l="1"/>
  <c r="I15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<sst xmlns="http://schemas.openxmlformats.org/spreadsheetml/2006/main" count="34" uniqueCount="26">
  <si>
    <t>Scenario</t>
  </si>
  <si>
    <t>Unemployment Rate</t>
  </si>
  <si>
    <t>Tier 3 PD</t>
  </si>
  <si>
    <t>LGD</t>
  </si>
  <si>
    <t>Baseline</t>
  </si>
  <si>
    <t>Adverse</t>
  </si>
  <si>
    <t>Severe</t>
  </si>
  <si>
    <t>1.0x</t>
  </si>
  <si>
    <t>1.5x</t>
  </si>
  <si>
    <t>2.0x</t>
  </si>
  <si>
    <t>Active Scenario</t>
  </si>
  <si>
    <t>Stressed PD</t>
  </si>
  <si>
    <t>Stressed LGD</t>
  </si>
  <si>
    <t>Applicants</t>
  </si>
  <si>
    <t>Credit Tier</t>
  </si>
  <si>
    <t>Baseline PD</t>
  </si>
  <si>
    <t>Loan Amount</t>
  </si>
  <si>
    <t>Stressed Expected Loss</t>
  </si>
  <si>
    <t>Tier 1</t>
  </si>
  <si>
    <t>Tier 2</t>
  </si>
  <si>
    <t>Tier 3</t>
  </si>
  <si>
    <t xml:space="preserve"> Tier 1</t>
  </si>
  <si>
    <t xml:space="preserve"> Tier 2</t>
  </si>
  <si>
    <t>Total Portfolio Exposure</t>
  </si>
  <si>
    <t>Total Expected Loss</t>
  </si>
  <si>
    <t>Portfolio Loss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</si>
</sst>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₹&quot;\ 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165" fontId="0" fillId="3" borderId="0" xfId="0" applyNumberFormat="1" applyFill="1"/>
    <xf numFmtId="0" fontId="0" fillId="4" borderId="0" xfId="0" applyFill="1"/>
    <xf numFmtId="0" fontId="0" fillId="5" borderId="0" xfId="0" applyFill="1"/>
    <xf numFmtId="9" fontId="0" fillId="4" borderId="0" xfId="1" applyFont="1" applyFill="1"/>
    <xf numFmtId="0" fontId="0" fillId="6" borderId="0" xfId="0" applyFill="1"/>
    <xf numFmtId="165" fontId="0" fillId="7" borderId="0" xfId="0" applyNumberFormat="1" applyFill="1"/>
    <xf numFmtId="10" fontId="0" fillId="7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9D1B-5657-491F-BF19-9CDC57DF97BE}">
  <dimension ref="A1:I16"/>
  <sheetViews>
    <sheetView tabSelected="1" workbookViewId="0">
      <selection activeCell="D22" sqref="D22"/>
    </sheetView>
  </sheetViews>
  <sheetFormatPr defaultRowHeight="15" x14ac:dyDescent="0.25"/>
  <cols>
    <col min="1" max="1" width="10.28515625" bestFit="1" customWidth="1"/>
    <col min="2" max="2" width="19.5703125" bestFit="1" customWidth="1"/>
    <col min="3" max="3" width="11.42578125" bestFit="1" customWidth="1"/>
    <col min="4" max="4" width="14.42578125" bestFit="1" customWidth="1"/>
    <col min="5" max="5" width="11.42578125" bestFit="1" customWidth="1"/>
    <col min="6" max="6" width="12.42578125" bestFit="1" customWidth="1"/>
    <col min="7" max="7" width="21.7109375" bestFit="1" customWidth="1"/>
    <col min="8" max="8" width="22.7109375" bestFit="1" customWidth="1"/>
    <col min="9" max="9" width="10.7109375" bestFit="1" customWidth="1"/>
  </cols>
  <sheetData>
    <row r="1" spans="1:9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11</v>
      </c>
      <c r="F1" s="1" t="s">
        <v>12</v>
      </c>
      <c r="G1" s="1" t="s">
        <v>17</v>
      </c>
      <c r="H1" s="6" t="s">
        <v>10</v>
      </c>
    </row>
    <row r="2" spans="1:9" x14ac:dyDescent="0.25">
      <c r="A2" s="2">
        <v>1</v>
      </c>
      <c r="B2" s="2" t="s">
        <v>18</v>
      </c>
      <c r="C2" s="3">
        <v>1.4999999999999999E-2</v>
      </c>
      <c r="D2" s="4">
        <v>500000</v>
      </c>
      <c r="E2" s="2" cm="1">
        <f t="array" ref="E2">_xlfn.IFS($H$2="baseline", C2, $H$2="Adverse", IF(B2="Tier 3",C2*1.5, C2),$H$2="Severe",IF(B2="Tier 3",C2*2, C2))</f>
        <v>1.4999999999999999E-2</v>
      </c>
      <c r="F2" s="2">
        <f>VLOOKUP($H$2, $A$14:$B$16, 2, FALSE)</f>
        <v>0.11</v>
      </c>
      <c r="G2" s="4">
        <f>D2*E2*F2</f>
        <v>825</v>
      </c>
      <c r="H2" s="5" t="s">
        <v>6</v>
      </c>
    </row>
    <row r="3" spans="1:9" x14ac:dyDescent="0.25">
      <c r="A3" s="2">
        <f>A2+1</f>
        <v>2</v>
      </c>
      <c r="B3" s="2" t="s">
        <v>19</v>
      </c>
      <c r="C3" s="3">
        <v>0.04</v>
      </c>
      <c r="D3" s="4">
        <v>1200000</v>
      </c>
      <c r="E3" s="2" cm="1">
        <f t="array" ref="E3">_xlfn.IFS($H$2="baseline", C3, $H$2="Adverse", IF(B3="Tier 3",C3*1.5, C3),$H$2="Severe",IF(B3="Tier 3",C3*2, C3))</f>
        <v>0.04</v>
      </c>
      <c r="F3" s="2">
        <f t="shared" ref="F3:F11" si="0">VLOOKUP($H$2, $A$14:$B$16, 2, FALSE)</f>
        <v>0.11</v>
      </c>
      <c r="G3" s="4">
        <f t="shared" ref="G3:G11" si="1">D3*E3*F3</f>
        <v>5280</v>
      </c>
    </row>
    <row r="4" spans="1:9" x14ac:dyDescent="0.25">
      <c r="A4" s="2">
        <f t="shared" ref="A4:A11" si="2">A3+1</f>
        <v>3</v>
      </c>
      <c r="B4" s="2" t="s">
        <v>20</v>
      </c>
      <c r="C4" s="3">
        <v>0.08</v>
      </c>
      <c r="D4" s="4">
        <v>350000</v>
      </c>
      <c r="E4" s="2" cm="1">
        <f t="array" ref="E4">_xlfn.IFS($H$2="baseline", C4, $H$2="Adverse", IF(B4="Tier 3",C4*1.5, C4),$H$2="Severe",IF(B4="Tier 3",C4*2, C4))</f>
        <v>0.16</v>
      </c>
      <c r="F4" s="2">
        <f t="shared" si="0"/>
        <v>0.11</v>
      </c>
      <c r="G4" s="4">
        <f t="shared" si="1"/>
        <v>6160</v>
      </c>
    </row>
    <row r="5" spans="1:9" x14ac:dyDescent="0.25">
      <c r="A5" s="2">
        <f t="shared" si="2"/>
        <v>4</v>
      </c>
      <c r="B5" s="2" t="s">
        <v>21</v>
      </c>
      <c r="C5" s="3">
        <v>1.2E-2</v>
      </c>
      <c r="D5" s="4">
        <v>2500000</v>
      </c>
      <c r="E5" s="2" cm="1">
        <f t="array" ref="E5">_xlfn.IFS($H$2="baseline", C5, $H$2="Adverse", IF(B5="Tier 3",C5*1.5, C5),$H$2="Severe",IF(B5="Tier 3",C5*2, C5))</f>
        <v>1.2E-2</v>
      </c>
      <c r="F5" s="2">
        <f t="shared" si="0"/>
        <v>0.11</v>
      </c>
      <c r="G5" s="4">
        <f t="shared" si="1"/>
        <v>3300</v>
      </c>
    </row>
    <row r="6" spans="1:9" x14ac:dyDescent="0.25">
      <c r="A6" s="2">
        <f t="shared" si="2"/>
        <v>5</v>
      </c>
      <c r="B6" s="2" t="s">
        <v>20</v>
      </c>
      <c r="C6" s="3">
        <v>9.5000000000000001E-2</v>
      </c>
      <c r="D6" s="4">
        <v>150000</v>
      </c>
      <c r="E6" s="2" cm="1">
        <f t="array" ref="E6">_xlfn.IFS($H$2="baseline", C6, $H$2="Adverse", IF(B6="Tier 3",C6*1.5, C6),$H$2="Severe",IF(B6="Tier 3",C6*2, C6))</f>
        <v>0.19</v>
      </c>
      <c r="F6" s="2">
        <f t="shared" si="0"/>
        <v>0.11</v>
      </c>
      <c r="G6" s="4">
        <f t="shared" si="1"/>
        <v>3135</v>
      </c>
    </row>
    <row r="7" spans="1:9" x14ac:dyDescent="0.25">
      <c r="A7" s="2">
        <f t="shared" si="2"/>
        <v>6</v>
      </c>
      <c r="B7" s="2" t="s">
        <v>19</v>
      </c>
      <c r="C7" s="3">
        <v>3.5000000000000003E-2</v>
      </c>
      <c r="D7" s="4">
        <v>800000</v>
      </c>
      <c r="E7" s="2" cm="1">
        <f t="array" ref="E7">_xlfn.IFS($H$2="baseline", C7, $H$2="Adverse", IF(B7="Tier 3",C7*1.5, C7),$H$2="Severe",IF(B7="Tier 3",C7*2, C7))</f>
        <v>3.5000000000000003E-2</v>
      </c>
      <c r="F7" s="2">
        <f t="shared" si="0"/>
        <v>0.11</v>
      </c>
      <c r="G7" s="4">
        <f t="shared" si="1"/>
        <v>3080.0000000000005</v>
      </c>
    </row>
    <row r="8" spans="1:9" x14ac:dyDescent="0.25">
      <c r="A8" s="2">
        <f t="shared" si="2"/>
        <v>7</v>
      </c>
      <c r="B8" s="2" t="s">
        <v>20</v>
      </c>
      <c r="C8" s="3">
        <v>0.12</v>
      </c>
      <c r="D8" s="4">
        <v>400000</v>
      </c>
      <c r="E8" s="2" cm="1">
        <f t="array" ref="E8">_xlfn.IFS($H$2="baseline", C8, $H$2="Adverse", IF(B8="Tier 3",C8*1.5, C8),$H$2="Severe",IF(B8="Tier 3",C8*2, C8))</f>
        <v>0.24</v>
      </c>
      <c r="F8" s="2">
        <f t="shared" si="0"/>
        <v>0.11</v>
      </c>
      <c r="G8" s="4">
        <f t="shared" si="1"/>
        <v>10560</v>
      </c>
    </row>
    <row r="9" spans="1:9" x14ac:dyDescent="0.25">
      <c r="A9" s="2">
        <f t="shared" si="2"/>
        <v>8</v>
      </c>
      <c r="B9" s="2" t="s">
        <v>18</v>
      </c>
      <c r="C9" s="3">
        <v>1.7999999999999999E-2</v>
      </c>
      <c r="D9" s="4">
        <v>1800000</v>
      </c>
      <c r="E9" s="2" cm="1">
        <f t="array" ref="E9">_xlfn.IFS($H$2="baseline", C9, $H$2="Adverse", IF(B9="Tier 3",C9*1.5, C9),$H$2="Severe",IF(B9="Tier 3",C9*2, C9))</f>
        <v>1.7999999999999999E-2</v>
      </c>
      <c r="F9" s="2">
        <f t="shared" si="0"/>
        <v>0.11</v>
      </c>
      <c r="G9" s="4">
        <f t="shared" si="1"/>
        <v>3563.9999999999995</v>
      </c>
    </row>
    <row r="10" spans="1:9" x14ac:dyDescent="0.25">
      <c r="A10" s="2">
        <f t="shared" si="2"/>
        <v>9</v>
      </c>
      <c r="B10" s="2" t="s">
        <v>22</v>
      </c>
      <c r="C10" s="3">
        <v>0.05</v>
      </c>
      <c r="D10" s="4">
        <v>650000</v>
      </c>
      <c r="E10" s="2" cm="1">
        <f t="array" ref="E10">_xlfn.IFS($H$2="baseline", C10, $H$2="Adverse", IF(B10="Tier 3",C10*1.5, C10),$H$2="Severe",IF(B10="Tier 3",C10*2, C10))</f>
        <v>0.05</v>
      </c>
      <c r="F10" s="2">
        <f t="shared" si="0"/>
        <v>0.11</v>
      </c>
      <c r="G10" s="4">
        <f t="shared" si="1"/>
        <v>3575</v>
      </c>
    </row>
    <row r="11" spans="1:9" x14ac:dyDescent="0.25">
      <c r="A11" s="2">
        <f t="shared" si="2"/>
        <v>10</v>
      </c>
      <c r="B11" s="2" t="s">
        <v>20</v>
      </c>
      <c r="C11" s="3">
        <v>0.105</v>
      </c>
      <c r="D11" s="4">
        <v>200000</v>
      </c>
      <c r="E11" s="2" cm="1">
        <f t="array" ref="E11">_xlfn.IFS($H$2="baseline", C11, $H$2="Adverse", IF(B11="Tier 3",C11*1.5, C11),$H$2="Severe",IF(B11="Tier 3",C11*2, C11))</f>
        <v>0.21</v>
      </c>
      <c r="F11" s="2">
        <f t="shared" si="0"/>
        <v>0.11</v>
      </c>
      <c r="G11" s="4">
        <f t="shared" si="1"/>
        <v>4620</v>
      </c>
    </row>
    <row r="13" spans="1:9" x14ac:dyDescent="0.25">
      <c r="A13" s="6" t="s">
        <v>0</v>
      </c>
      <c r="B13" s="6" t="s">
        <v>1</v>
      </c>
      <c r="C13" s="6" t="s">
        <v>2</v>
      </c>
      <c r="D13" s="6" t="s">
        <v>3</v>
      </c>
      <c r="E13" s="6" t="s">
        <v>11</v>
      </c>
      <c r="F13" s="6" t="s">
        <v>12</v>
      </c>
      <c r="H13" s="8" t="s">
        <v>23</v>
      </c>
      <c r="I13" s="9">
        <f>SUM(D2:D11)</f>
        <v>8550000</v>
      </c>
    </row>
    <row r="14" spans="1:9" x14ac:dyDescent="0.25">
      <c r="A14" s="5" t="s">
        <v>4</v>
      </c>
      <c r="B14" s="7">
        <v>0.04</v>
      </c>
      <c r="C14" s="5" t="s">
        <v>7</v>
      </c>
      <c r="D14" s="7">
        <v>0.45</v>
      </c>
      <c r="E14" s="5" cm="1">
        <f t="array" ref="E14">_xlfn.IFS($H$2="baseline", D14, $H$2="Adverse", IF(C14="Tier 3",D14*1.5, D14),$H$2="Severe",IF(C14="Tier 3",D14*2, D14))</f>
        <v>0.45</v>
      </c>
      <c r="F14" s="5">
        <f>VLOOKUP($H$2, $A$14:$B$16, 2, FALSE)</f>
        <v>0.11</v>
      </c>
      <c r="H14" s="8" t="s">
        <v>24</v>
      </c>
      <c r="I14" s="9">
        <f>SUM(G2:G11)</f>
        <v>44099</v>
      </c>
    </row>
    <row r="15" spans="1:9" x14ac:dyDescent="0.25">
      <c r="A15" s="5" t="s">
        <v>5</v>
      </c>
      <c r="B15" s="7">
        <v>7.4999999999999997E-2</v>
      </c>
      <c r="C15" s="5" t="s">
        <v>8</v>
      </c>
      <c r="D15" s="7">
        <v>0.5</v>
      </c>
      <c r="E15" s="5" cm="1">
        <f t="array" ref="E15">_xlfn.IFS($H$2="baseline", D15, $H$2="Adverse", IF(C15="Tier 3",D15*1.5, D15),$H$2="Severe",IF(C15="Tier 3",D15*2, D15))</f>
        <v>0.5</v>
      </c>
      <c r="F15" s="5">
        <f>VLOOKUP($H$2, $A$14:$B$16, 2, FALSE)</f>
        <v>0.11</v>
      </c>
      <c r="H15" s="8" t="s">
        <v>25</v>
      </c>
      <c r="I15" s="10">
        <f>I14/I13</f>
        <v>5.1577777777777776E-3</v>
      </c>
    </row>
    <row r="16" spans="1:9" x14ac:dyDescent="0.25">
      <c r="A16" s="5" t="s">
        <v>6</v>
      </c>
      <c r="B16" s="7">
        <v>0.11</v>
      </c>
      <c r="C16" s="5" t="s">
        <v>9</v>
      </c>
      <c r="D16" s="7">
        <v>0.6</v>
      </c>
      <c r="E16" s="5" cm="1">
        <f t="array" ref="E16">_xlfn.IFS($H$2="baseline", D16, $H$2="Adverse", IF(C16="Tier 3",D16*1.5, D16),$H$2="Severe",IF(C16="Tier 3",D16*2, D16))</f>
        <v>0.6</v>
      </c>
      <c r="F16" s="5">
        <f>VLOOKUP($H$2, $A$14:$B$16, 2, FALSE)</f>
        <v>0.11</v>
      </c>
    </row>
  </sheetData>
  <dataValidations disablePrompts="1" count="1">
    <dataValidation type="list" allowBlank="1" showInputMessage="1" showErrorMessage="1" sqref="H2" xr:uid="{74E422D0-AEE3-4DB2-B749-C49C78B49471}">
      <formula1>"Baseline, Adverse, Severe"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Pawar</dc:creator>
  <cp:lastModifiedBy>Kabir Pawar</cp:lastModifiedBy>
  <dcterms:created xsi:type="dcterms:W3CDTF">2026-05-26T08:32:53Z</dcterms:created>
  <dcterms:modified xsi:type="dcterms:W3CDTF">2026-05-29T19:03:30Z</dcterms:modified>
</cp:coreProperties>
</file>