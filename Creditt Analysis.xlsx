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a1dd9cd7d5d27d/Documents/"/>
    </mc:Choice>
  </mc:AlternateContent>
  <xr:revisionPtr revIDLastSave="0" documentId="8_{D18BB0E5-BD24-4D30-8C03-F5431F71E236}" xr6:coauthVersionLast="47" xr6:coauthVersionMax="47" xr10:uidLastSave="{00000000-0000-0000-0000-000000000000}"/>
  <bookViews>
    <workbookView xWindow="-120" yWindow="-120" windowWidth="29040" windowHeight="15720" xr2:uid="{48ADA6AA-9909-4B68-BA87-952B9E67F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E25" i="1"/>
  <c r="D25" i="1"/>
  <c r="E26" i="1"/>
  <c r="E33" i="1" s="1"/>
  <c r="D26" i="1"/>
  <c r="D33" i="1" s="1"/>
  <c r="C26" i="1"/>
  <c r="C33" i="1" s="1"/>
  <c r="C25" i="1"/>
  <c r="E24" i="1"/>
  <c r="E31" i="1" s="1"/>
  <c r="E22" i="1"/>
  <c r="E23" i="1" s="1"/>
  <c r="E32" i="1" s="1"/>
  <c r="D24" i="1"/>
  <c r="D22" i="1"/>
  <c r="D23" i="1" s="1"/>
  <c r="D32" i="1" s="1"/>
  <c r="C24" i="1"/>
  <c r="C31" i="1" s="1"/>
  <c r="C23" i="1"/>
  <c r="C32" i="1" s="1"/>
  <c r="C22" i="1"/>
  <c r="C17" i="1"/>
  <c r="C18" i="1" s="1"/>
  <c r="C30" i="1" s="1"/>
  <c r="D17" i="1"/>
  <c r="D18" i="1" s="1"/>
  <c r="D30" i="1" s="1"/>
  <c r="D34" i="1" s="1"/>
  <c r="D35" i="1" s="1"/>
  <c r="E17" i="1"/>
  <c r="E18" i="1"/>
  <c r="E30" i="1" s="1"/>
  <c r="C19" i="1"/>
  <c r="C20" i="1" s="1"/>
  <c r="D19" i="1"/>
  <c r="D20" i="1" s="1"/>
  <c r="E19" i="1"/>
  <c r="E20" i="1"/>
  <c r="E34" i="1" l="1"/>
  <c r="E35" i="1" s="1"/>
  <c r="C34" i="1"/>
  <c r="C35" i="1" s="1"/>
</calcChain>
</file>

<file path=xl/sharedStrings.xml><?xml version="1.0" encoding="utf-8"?>
<sst xmlns="http://schemas.openxmlformats.org/spreadsheetml/2006/main" count="37" uniqueCount="37">
  <si>
    <t>Categories</t>
  </si>
  <si>
    <t>Line items</t>
  </si>
  <si>
    <t>FY23</t>
  </si>
  <si>
    <t>FY24</t>
  </si>
  <si>
    <t>FY25</t>
  </si>
  <si>
    <t>Profit &amp;Loss</t>
  </si>
  <si>
    <t>Sales</t>
  </si>
  <si>
    <t>Expenses</t>
  </si>
  <si>
    <t>Opreational Profit(EBITDA)</t>
  </si>
  <si>
    <t>Depreciation</t>
  </si>
  <si>
    <t>Intrest</t>
  </si>
  <si>
    <t>Net Profit</t>
  </si>
  <si>
    <t>Balance Sheet</t>
  </si>
  <si>
    <t>Share Capital</t>
  </si>
  <si>
    <t>Reserves</t>
  </si>
  <si>
    <t>Borrowings</t>
  </si>
  <si>
    <t>Other Liabilities</t>
  </si>
  <si>
    <t>Fixed Assets</t>
  </si>
  <si>
    <t>Working Capital(CA-CL)</t>
  </si>
  <si>
    <t>Time Lines</t>
  </si>
  <si>
    <t>Operating Profit</t>
  </si>
  <si>
    <t>Intrest Covrage Ratio</t>
  </si>
  <si>
    <t>Estimated principal Repayment</t>
  </si>
  <si>
    <t>Debt Service Coverage Ratio</t>
  </si>
  <si>
    <t>Total Equity</t>
  </si>
  <si>
    <t>Debt-to-Equity Ratio</t>
  </si>
  <si>
    <t>Total Debt/EBITDA</t>
  </si>
  <si>
    <t>Working Capital % of Sales</t>
  </si>
  <si>
    <t>Fixed Assest Turnover</t>
  </si>
  <si>
    <t>Scorecard Section(FY 25)</t>
  </si>
  <si>
    <t>Intrest Coverage Score</t>
  </si>
  <si>
    <t>Leverage Score</t>
  </si>
  <si>
    <t>Capital Structure Score</t>
  </si>
  <si>
    <t>Assest Efficiency Score</t>
  </si>
  <si>
    <t>TOTAL CREDIT SCORE</t>
  </si>
  <si>
    <t>AUTOMATED CREDI RATING</t>
  </si>
  <si>
    <t>TATA MOTORS Credit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</si>
</sst>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 * #,##0_ ;_ * \-#,##0_ ;_ * &quot;-&quot;??_ ;_ @_ "/>
    <numFmt numFmtId="168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5" fontId="0" fillId="2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165" fontId="0" fillId="2" borderId="0" xfId="0" applyNumberFormat="1" applyFill="1"/>
    <xf numFmtId="2" fontId="0" fillId="2" borderId="0" xfId="0" applyNumberFormat="1" applyFill="1"/>
    <xf numFmtId="2" fontId="0" fillId="5" borderId="0" xfId="0" applyNumberFormat="1" applyFill="1"/>
    <xf numFmtId="168" fontId="0" fillId="5" borderId="0" xfId="2" applyNumberFormat="1" applyFont="1" applyFill="1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CFE3-F290-4537-B6CD-65B5F30D5160}">
  <dimension ref="A1:E35"/>
  <sheetViews>
    <sheetView tabSelected="1" workbookViewId="0">
      <selection activeCell="C8" sqref="C8"/>
    </sheetView>
  </sheetViews>
  <sheetFormatPr defaultRowHeight="15" x14ac:dyDescent="0.25"/>
  <cols>
    <col min="1" max="1" width="13.5703125" bestFit="1" customWidth="1"/>
    <col min="2" max="2" width="29.140625" bestFit="1" customWidth="1"/>
    <col min="3" max="3" width="28.140625" bestFit="1" customWidth="1"/>
    <col min="4" max="4" width="32.5703125" bestFit="1" customWidth="1"/>
    <col min="5" max="5" width="28.42578125" bestFit="1" customWidth="1"/>
  </cols>
  <sheetData>
    <row r="1" spans="1:5" ht="33.75" x14ac:dyDescent="0.5">
      <c r="C1" s="9" t="s">
        <v>36</v>
      </c>
    </row>
    <row r="2" spans="1:5" x14ac:dyDescent="0.25">
      <c r="A2" s="4" t="s">
        <v>0</v>
      </c>
      <c r="B2" s="4" t="s">
        <v>1</v>
      </c>
      <c r="C2" s="4"/>
      <c r="D2" s="4" t="s">
        <v>19</v>
      </c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3"/>
      <c r="B4" s="2"/>
      <c r="C4" s="2" t="s">
        <v>2</v>
      </c>
      <c r="D4" s="2" t="s">
        <v>3</v>
      </c>
      <c r="E4" s="2" t="s">
        <v>4</v>
      </c>
    </row>
    <row r="5" spans="1:5" x14ac:dyDescent="0.25">
      <c r="A5" s="3" t="s">
        <v>5</v>
      </c>
      <c r="B5" s="4" t="s">
        <v>6</v>
      </c>
      <c r="C5" s="1">
        <v>345967</v>
      </c>
      <c r="D5" s="1">
        <v>434016</v>
      </c>
      <c r="E5" s="1">
        <v>439695</v>
      </c>
    </row>
    <row r="6" spans="1:5" x14ac:dyDescent="0.25">
      <c r="A6" s="3"/>
      <c r="B6" s="4" t="s">
        <v>7</v>
      </c>
      <c r="C6" s="1">
        <v>314151</v>
      </c>
      <c r="D6" s="1">
        <v>376207</v>
      </c>
      <c r="E6" s="1">
        <v>383557</v>
      </c>
    </row>
    <row r="7" spans="1:5" x14ac:dyDescent="0.25">
      <c r="A7" s="3"/>
      <c r="B7" s="4" t="s">
        <v>8</v>
      </c>
      <c r="C7" s="1">
        <v>31816</v>
      </c>
      <c r="D7" s="1">
        <v>57809</v>
      </c>
      <c r="E7" s="1">
        <v>56138</v>
      </c>
    </row>
    <row r="8" spans="1:5" x14ac:dyDescent="0.25">
      <c r="A8" s="3"/>
      <c r="B8" s="4" t="s">
        <v>9</v>
      </c>
      <c r="C8" s="1">
        <v>24860</v>
      </c>
      <c r="D8" s="1">
        <v>27239</v>
      </c>
      <c r="E8" s="1">
        <v>23256</v>
      </c>
    </row>
    <row r="9" spans="1:5" x14ac:dyDescent="0.25">
      <c r="A9" s="3"/>
      <c r="B9" s="4" t="s">
        <v>10</v>
      </c>
      <c r="C9" s="1">
        <v>10225</v>
      </c>
      <c r="D9" s="1">
        <v>7594</v>
      </c>
      <c r="E9" s="1">
        <v>5083</v>
      </c>
    </row>
    <row r="10" spans="1:5" x14ac:dyDescent="0.25">
      <c r="A10" s="3"/>
      <c r="B10" s="4" t="s">
        <v>11</v>
      </c>
      <c r="C10" s="1">
        <v>2690</v>
      </c>
      <c r="D10" s="1">
        <v>31807</v>
      </c>
      <c r="E10" s="1">
        <v>28149</v>
      </c>
    </row>
    <row r="11" spans="1:5" x14ac:dyDescent="0.25">
      <c r="A11" s="3" t="s">
        <v>12</v>
      </c>
      <c r="B11" s="4" t="s">
        <v>13</v>
      </c>
      <c r="C11" s="1">
        <v>766</v>
      </c>
      <c r="D11" s="1">
        <v>767</v>
      </c>
      <c r="E11" s="1">
        <v>736</v>
      </c>
    </row>
    <row r="12" spans="1:5" x14ac:dyDescent="0.25">
      <c r="A12" s="3"/>
      <c r="B12" s="4" t="s">
        <v>14</v>
      </c>
      <c r="C12" s="1">
        <v>44556</v>
      </c>
      <c r="D12" s="1">
        <v>84151</v>
      </c>
      <c r="E12" s="1">
        <v>115408</v>
      </c>
    </row>
    <row r="13" spans="1:5" x14ac:dyDescent="0.25">
      <c r="A13" s="3"/>
      <c r="B13" s="4" t="s">
        <v>15</v>
      </c>
      <c r="C13" s="1">
        <v>134113</v>
      </c>
      <c r="D13" s="1">
        <v>107264</v>
      </c>
      <c r="E13" s="1">
        <v>71540</v>
      </c>
    </row>
    <row r="14" spans="1:5" x14ac:dyDescent="0.25">
      <c r="A14" s="3"/>
      <c r="B14" s="4" t="s">
        <v>16</v>
      </c>
      <c r="C14" s="1">
        <v>155239</v>
      </c>
      <c r="D14" s="1">
        <v>177339</v>
      </c>
      <c r="E14" s="1">
        <v>189289</v>
      </c>
    </row>
    <row r="15" spans="1:5" x14ac:dyDescent="0.25">
      <c r="A15" s="3"/>
      <c r="B15" s="4" t="s">
        <v>17</v>
      </c>
      <c r="C15" s="1">
        <v>141600</v>
      </c>
      <c r="D15" s="1">
        <v>148900</v>
      </c>
      <c r="E15" s="1">
        <v>152400</v>
      </c>
    </row>
    <row r="16" spans="1:5" x14ac:dyDescent="0.25">
      <c r="A16" s="3"/>
      <c r="B16" s="4" t="s">
        <v>18</v>
      </c>
      <c r="C16" s="1">
        <v>-12450</v>
      </c>
      <c r="D16" s="1">
        <v>-8200</v>
      </c>
      <c r="E16" s="1">
        <v>-4150</v>
      </c>
    </row>
    <row r="17" spans="1:5" x14ac:dyDescent="0.25">
      <c r="A17" s="3"/>
      <c r="B17" s="4" t="s">
        <v>20</v>
      </c>
      <c r="C17" s="5">
        <f>C7-C8</f>
        <v>6956</v>
      </c>
      <c r="D17" s="5">
        <f>D7-D8</f>
        <v>30570</v>
      </c>
      <c r="E17" s="5">
        <f>E7-E8</f>
        <v>32882</v>
      </c>
    </row>
    <row r="18" spans="1:5" x14ac:dyDescent="0.25">
      <c r="A18" s="3"/>
      <c r="B18" s="4" t="s">
        <v>21</v>
      </c>
      <c r="C18" s="6">
        <f>C17/C9</f>
        <v>0.6802933985330073</v>
      </c>
      <c r="D18" s="6">
        <f>D17/D9</f>
        <v>4.0255464840663686</v>
      </c>
      <c r="E18" s="6">
        <f>E17/E9</f>
        <v>6.4690143615974822</v>
      </c>
    </row>
    <row r="19" spans="1:5" x14ac:dyDescent="0.25">
      <c r="A19" s="3"/>
      <c r="B19" s="4" t="s">
        <v>22</v>
      </c>
      <c r="C19" s="6">
        <f>C13*0.1</f>
        <v>13411.300000000001</v>
      </c>
      <c r="D19" s="6">
        <f>D13*0.1</f>
        <v>10726.400000000001</v>
      </c>
      <c r="E19" s="6">
        <f>E13*0.1</f>
        <v>7154</v>
      </c>
    </row>
    <row r="20" spans="1:5" x14ac:dyDescent="0.25">
      <c r="A20" s="3"/>
      <c r="B20" s="4" t="s">
        <v>23</v>
      </c>
      <c r="C20" s="6">
        <f>(C10+C8+C9)/(C9+C19)</f>
        <v>1.5981773797083298</v>
      </c>
      <c r="D20" s="6">
        <f>(D8+D9+D10)/(D9+D19)</f>
        <v>3.6374751642977223</v>
      </c>
      <c r="E20" s="6">
        <f>(E8+E9+E10)/(E9+E19)</f>
        <v>4.6161640925063336</v>
      </c>
    </row>
    <row r="22" spans="1:5" x14ac:dyDescent="0.25">
      <c r="B22" s="4" t="s">
        <v>24</v>
      </c>
      <c r="C22" s="7">
        <f>C11+C12</f>
        <v>45322</v>
      </c>
      <c r="D22" s="7">
        <f>D11+D12</f>
        <v>84918</v>
      </c>
      <c r="E22" s="7">
        <f>E11+E12</f>
        <v>116144</v>
      </c>
    </row>
    <row r="23" spans="1:5" x14ac:dyDescent="0.25">
      <c r="B23" s="4" t="s">
        <v>25</v>
      </c>
      <c r="C23" s="7">
        <f>C13/C22</f>
        <v>2.9591147786946737</v>
      </c>
      <c r="D23" s="7">
        <f>D13/D22</f>
        <v>1.2631479780494124</v>
      </c>
      <c r="E23" s="7">
        <f>E13/E22</f>
        <v>0.61595949855351972</v>
      </c>
    </row>
    <row r="24" spans="1:5" x14ac:dyDescent="0.25">
      <c r="B24" s="4" t="s">
        <v>26</v>
      </c>
      <c r="C24" s="7">
        <f>C13/C7</f>
        <v>4.2152690470203673</v>
      </c>
      <c r="D24" s="7">
        <f>D13/D7</f>
        <v>1.8554896296424432</v>
      </c>
      <c r="E24" s="7">
        <f>E13/E7</f>
        <v>1.2743596138088282</v>
      </c>
    </row>
    <row r="25" spans="1:5" x14ac:dyDescent="0.25">
      <c r="B25" s="4" t="s">
        <v>27</v>
      </c>
      <c r="C25" s="8">
        <f>C16/C5</f>
        <v>-3.5986091158983373E-2</v>
      </c>
      <c r="D25" s="8">
        <f>D16/D5</f>
        <v>-1.8893312688933128E-2</v>
      </c>
      <c r="E25" s="8">
        <f>E16/E5</f>
        <v>-9.438360681836273E-3</v>
      </c>
    </row>
    <row r="26" spans="1:5" x14ac:dyDescent="0.25">
      <c r="B26" s="4" t="s">
        <v>28</v>
      </c>
      <c r="C26" s="7">
        <f>C5/C15</f>
        <v>2.4432697740112994</v>
      </c>
      <c r="D26" s="7">
        <f>D5/D15</f>
        <v>2.9148153122901275</v>
      </c>
      <c r="E26" s="7">
        <f>E5/E15</f>
        <v>2.8851377952755906</v>
      </c>
    </row>
    <row r="29" spans="1:5" x14ac:dyDescent="0.25">
      <c r="B29" s="2" t="s">
        <v>29</v>
      </c>
      <c r="C29" s="4"/>
      <c r="D29" s="4"/>
      <c r="E29" s="4"/>
    </row>
    <row r="30" spans="1:5" x14ac:dyDescent="0.25">
      <c r="B30" s="2" t="s">
        <v>30</v>
      </c>
      <c r="C30" s="4">
        <f>IF(C18&gt;5, 5, IF(C18&gt;=2, 3, 1))</f>
        <v>1</v>
      </c>
      <c r="D30" s="4">
        <f>IF(D18&gt;5, 5, IF(D18&gt;=2, 3, 1))</f>
        <v>3</v>
      </c>
      <c r="E30" s="4">
        <f>IF(E18&gt;5, 5, IF(E18&gt;=2, 3, 1))</f>
        <v>5</v>
      </c>
    </row>
    <row r="31" spans="1:5" x14ac:dyDescent="0.25">
      <c r="B31" s="2" t="s">
        <v>31</v>
      </c>
      <c r="C31" s="4">
        <f>IF(C24&lt;1.5, 5, IF(C24&lt;=3.5, 3, 1))</f>
        <v>1</v>
      </c>
      <c r="D31" s="4">
        <f>IF(D24&lt;1.5, 5, IF(D24&lt;=3.5, 3, 1))</f>
        <v>3</v>
      </c>
      <c r="E31" s="4">
        <f>IF(E24&lt;1.5, 5, IF(E24&lt;=3.5, 3, 1))</f>
        <v>5</v>
      </c>
    </row>
    <row r="32" spans="1:5" x14ac:dyDescent="0.25">
      <c r="B32" s="2" t="s">
        <v>32</v>
      </c>
      <c r="C32" s="4">
        <f>IF(C23&lt;0.8, 5, IF(C23&lt;=2, 3, 1))</f>
        <v>1</v>
      </c>
      <c r="D32" s="4">
        <f>IF(D23&lt;0.8, 5, IF(D23&lt;=2, 3, 1))</f>
        <v>3</v>
      </c>
      <c r="E32" s="4">
        <f>IF(E23&lt;0.8, 5, IF(E23&lt;=2, 3, 1))</f>
        <v>5</v>
      </c>
    </row>
    <row r="33" spans="2:5" x14ac:dyDescent="0.25">
      <c r="B33" s="2" t="s">
        <v>33</v>
      </c>
      <c r="C33" s="4">
        <f>IF(C26&gt;2.5,5,IF(C26&gt;=1.5,3,1))</f>
        <v>3</v>
      </c>
      <c r="D33" s="4">
        <f>IF(D26&gt;2.5,5,IF(D26&gt;=1.5,3,1))</f>
        <v>5</v>
      </c>
      <c r="E33" s="4">
        <f>IF(E26&gt;2.5,5,IF(E26&gt;=1.5,3,1))</f>
        <v>5</v>
      </c>
    </row>
    <row r="34" spans="2:5" x14ac:dyDescent="0.25">
      <c r="B34" s="2" t="s">
        <v>34</v>
      </c>
      <c r="C34" s="4">
        <f>SUM(C30:C33)</f>
        <v>6</v>
      </c>
      <c r="D34" s="4">
        <f>SUM(D30:D33)</f>
        <v>14</v>
      </c>
      <c r="E34" s="4">
        <f>SUM(E30:E33)</f>
        <v>20</v>
      </c>
    </row>
    <row r="35" spans="2:5" x14ac:dyDescent="0.25">
      <c r="B35" s="2" t="s">
        <v>35</v>
      </c>
      <c r="C35" s="4" t="str">
        <f>IF(C34&gt;=16,"INVESTMENT GRADE(Low Risk)",IF(C34&gt;=10,"SPECULATIVE GRADE(Medium Risk)","DEFAULT WARNING(High Risk)"))</f>
        <v>DEFAULT WARNING(High Risk)</v>
      </c>
      <c r="D35" s="4" t="str">
        <f>IF(D34&gt;=16,"INVESTMENT GRADE(Low Risk)",IF(D34&gt;=10,"SPECULATIVE GRADE(Medium Risk)","DEFAULT WARNING(High Risk)"))</f>
        <v>SPECULATIVE GRADE(Medium Risk)</v>
      </c>
      <c r="E35" s="4" t="str">
        <f>IF(E34&gt;=16,"INVESTMENT GRADE(Low Risk)",IF(E34&gt;=10,"SPECULATIVE GRADE(Medium Risk)","DEFAULT WARNING(High Risk)"))</f>
        <v>INVESTMENT GRADE(Low Risk)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Pawar</dc:creator>
  <cp:lastModifiedBy>Kabir Pawar</cp:lastModifiedBy>
  <dcterms:created xsi:type="dcterms:W3CDTF">2026-05-25T11:55:16Z</dcterms:created>
  <dcterms:modified xsi:type="dcterms:W3CDTF">2026-05-25T13:07:38Z</dcterms:modified>
</cp:coreProperties>
</file>